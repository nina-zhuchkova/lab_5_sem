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бакалавриат\5 semester\лабы\лазер\"/>
    </mc:Choice>
  </mc:AlternateContent>
  <bookViews>
    <workbookView xWindow="0" yWindow="0" windowWidth="19200" windowHeight="7310" activeTab="1"/>
  </bookViews>
  <sheets>
    <sheet name="2. поляризация" sheetId="1" r:id="rId1"/>
    <sheet name="3.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</calcChain>
</file>

<file path=xl/sharedStrings.xml><?xml version="1.0" encoding="utf-8"?>
<sst xmlns="http://schemas.openxmlformats.org/spreadsheetml/2006/main" count="19" uniqueCount="19">
  <si>
    <t>I, мА</t>
  </si>
  <si>
    <t>W_верт, Вт</t>
  </si>
  <si>
    <t>delta_I, mA</t>
  </si>
  <si>
    <t>W_vert, 10 deg</t>
  </si>
  <si>
    <t>W_hor, 10 deg</t>
  </si>
  <si>
    <t>W_hor, W</t>
  </si>
  <si>
    <t>решетка</t>
  </si>
  <si>
    <t>1200 шт/мм</t>
  </si>
  <si>
    <t>ratio</t>
  </si>
  <si>
    <t>29 mA</t>
  </si>
  <si>
    <t>пороговый ток по фотодиоду (попытка 0)</t>
  </si>
  <si>
    <t>пороговый ток в схеме с обратной связью</t>
  </si>
  <si>
    <t>22 mA</t>
  </si>
  <si>
    <t>пороговый ток в схеме без обратной связи</t>
  </si>
  <si>
    <t>27 mA</t>
  </si>
  <si>
    <t>наблюдение: при включении обратной связи первые несколько секунд в пиках мощности возникают спонтанные вплески</t>
  </si>
  <si>
    <t>у нас конфокальный резонатор</t>
  </si>
  <si>
    <t>L = 20 см</t>
  </si>
  <si>
    <t>учет ширины резонанса?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</si>
</sst>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поляризация'!$A$2:$A$15</c:f>
              <c:numCache>
                <c:formatCode>0.00</c:formatCode>
                <c:ptCount val="14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38</c:v>
                </c:pt>
                <c:pt idx="13">
                  <c:v>40</c:v>
                </c:pt>
              </c:numCache>
            </c:numRef>
          </c:xVal>
          <c:yVal>
            <c:numRef>
              <c:f>'2. поляризация'!$F$2:$F$15</c:f>
              <c:numCache>
                <c:formatCode>General</c:formatCode>
                <c:ptCount val="14"/>
                <c:pt idx="0">
                  <c:v>2.4765702891326025</c:v>
                </c:pt>
                <c:pt idx="1">
                  <c:v>2.0042523033309712</c:v>
                </c:pt>
                <c:pt idx="2">
                  <c:v>2.1437994722955147</c:v>
                </c:pt>
                <c:pt idx="3">
                  <c:v>2.4759036144578315</c:v>
                </c:pt>
                <c:pt idx="4">
                  <c:v>3.6358894105372976</c:v>
                </c:pt>
                <c:pt idx="5">
                  <c:v>4.700438382854359</c:v>
                </c:pt>
                <c:pt idx="6">
                  <c:v>6.0921658986175116</c:v>
                </c:pt>
                <c:pt idx="7">
                  <c:v>24.173913043478262</c:v>
                </c:pt>
                <c:pt idx="8">
                  <c:v>35.946462715105163</c:v>
                </c:pt>
                <c:pt idx="9">
                  <c:v>40.456621004566209</c:v>
                </c:pt>
                <c:pt idx="10">
                  <c:v>43.902439024390247</c:v>
                </c:pt>
                <c:pt idx="11">
                  <c:v>45.75916230366493</c:v>
                </c:pt>
                <c:pt idx="12">
                  <c:v>48.576078112286403</c:v>
                </c:pt>
                <c:pt idx="13">
                  <c:v>50.375426621160415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64808"/>
        <c:axId val="75966376"/>
      </c:scatterChart>
      <c:valAx>
        <c:axId val="75964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966376"/>
        <c:crosses val="autoZero"/>
        <c:crossBetween val="midCat"/>
      </c:valAx>
      <c:valAx>
        <c:axId val="7596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964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98425</xdr:colOff>
      <xdr:row>1</xdr:row>
      <xdr:rowOff>149225</xdr:rowOff>
    </xdr:from>
    <xdr:to>
      <xdr:col>15</xdr:col>
      <xdr:colOff>403225</xdr:colOff>
      <xdr:row>16</xdr:row>
      <xdr:rowOff>130175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G9" sqref="G9"/>
    </sheetView>
  </sheetViews>
  <sheetFormatPr defaultRowHeight="14.5" x14ac:dyDescent="0.35"/>
  <cols>
    <col min="2" max="2" width="12.6328125" bestFit="1" customWidth="1"/>
    <col min="3" max="3" width="12.6328125" customWidth="1"/>
    <col min="4" max="4" width="14.36328125" bestFit="1" customWidth="1"/>
    <col min="5" max="5" width="16.6328125" bestFit="1" customWidth="1"/>
    <col min="6" max="6" width="10.81640625" bestFit="1" customWidth="1"/>
    <col min="7" max="7" width="10.26953125" bestFit="1" customWidth="1"/>
  </cols>
  <sheetData>
    <row r="1" spans="1:7" x14ac:dyDescent="0.35">
      <c r="A1" t="s">
        <v>0</v>
      </c>
      <c r="B1" t="s">
        <v>1</v>
      </c>
      <c r="C1" t="s">
        <v>3</v>
      </c>
      <c r="D1" t="s">
        <v>5</v>
      </c>
      <c r="E1" t="s">
        <v>4</v>
      </c>
      <c r="F1" t="s">
        <v>8</v>
      </c>
      <c r="G1" t="s">
        <v>2</v>
      </c>
    </row>
    <row r="2" spans="1:7" x14ac:dyDescent="0.35">
      <c r="A2" s="1">
        <v>25</v>
      </c>
      <c r="B2" s="1">
        <v>24.84</v>
      </c>
      <c r="C2" s="2">
        <v>-6</v>
      </c>
      <c r="D2" s="1">
        <v>10.029999999999999</v>
      </c>
      <c r="E2" s="2">
        <v>-6</v>
      </c>
      <c r="F2">
        <f>B2*10^C2/(D2*10^E2)</f>
        <v>2.4765702891326025</v>
      </c>
      <c r="G2">
        <v>0.5</v>
      </c>
    </row>
    <row r="3" spans="1:7" x14ac:dyDescent="0.35">
      <c r="A3" s="1">
        <v>26</v>
      </c>
      <c r="B3" s="1">
        <v>28.28</v>
      </c>
      <c r="C3" s="2">
        <v>-6</v>
      </c>
      <c r="D3" s="1">
        <v>14.11</v>
      </c>
      <c r="E3" s="2">
        <v>-6</v>
      </c>
      <c r="F3">
        <f t="shared" ref="F3:F15" si="0">B3*10^C3/(D3*10^E3)</f>
        <v>2.0042523033309712</v>
      </c>
    </row>
    <row r="4" spans="1:7" x14ac:dyDescent="0.35">
      <c r="A4" s="1">
        <v>27</v>
      </c>
      <c r="B4" s="1">
        <v>32.5</v>
      </c>
      <c r="C4" s="2">
        <v>-6</v>
      </c>
      <c r="D4" s="1">
        <v>15.16</v>
      </c>
      <c r="E4" s="2">
        <v>-6</v>
      </c>
      <c r="F4">
        <f t="shared" si="0"/>
        <v>2.1437994722955147</v>
      </c>
    </row>
    <row r="5" spans="1:7" x14ac:dyDescent="0.35">
      <c r="A5" s="1">
        <v>28</v>
      </c>
      <c r="B5" s="1">
        <v>41.1</v>
      </c>
      <c r="C5" s="2">
        <v>-6</v>
      </c>
      <c r="D5" s="1">
        <v>16.600000000000001</v>
      </c>
      <c r="E5" s="2">
        <v>-6</v>
      </c>
      <c r="F5">
        <f t="shared" si="0"/>
        <v>2.4759036144578315</v>
      </c>
    </row>
    <row r="6" spans="1:7" x14ac:dyDescent="0.35">
      <c r="A6" s="1">
        <v>29</v>
      </c>
      <c r="B6" s="1">
        <v>69.7</v>
      </c>
      <c r="C6" s="2">
        <v>-6</v>
      </c>
      <c r="D6" s="1">
        <v>19.170000000000002</v>
      </c>
      <c r="E6" s="2">
        <v>-6</v>
      </c>
      <c r="F6">
        <f t="shared" si="0"/>
        <v>3.6358894105372976</v>
      </c>
    </row>
    <row r="7" spans="1:7" x14ac:dyDescent="0.35">
      <c r="A7" s="1">
        <v>30</v>
      </c>
      <c r="B7" s="1">
        <v>96.5</v>
      </c>
      <c r="C7" s="2">
        <f>-6</f>
        <v>-6</v>
      </c>
      <c r="D7" s="1">
        <v>20.53</v>
      </c>
      <c r="E7" s="2">
        <v>-6</v>
      </c>
      <c r="F7">
        <f t="shared" si="0"/>
        <v>4.700438382854359</v>
      </c>
    </row>
    <row r="8" spans="1:7" x14ac:dyDescent="0.35">
      <c r="A8" s="1">
        <v>31</v>
      </c>
      <c r="B8" s="1">
        <v>132.19999999999999</v>
      </c>
      <c r="C8" s="2">
        <v>-6</v>
      </c>
      <c r="D8" s="1">
        <v>21.7</v>
      </c>
      <c r="E8" s="2">
        <v>-6</v>
      </c>
      <c r="F8">
        <f t="shared" si="0"/>
        <v>6.0921658986175116</v>
      </c>
    </row>
    <row r="9" spans="1:7" x14ac:dyDescent="0.35">
      <c r="A9" s="1">
        <v>32</v>
      </c>
      <c r="B9" s="1">
        <v>0.83399999999999996</v>
      </c>
      <c r="C9" s="2">
        <v>-3</v>
      </c>
      <c r="D9" s="1">
        <v>34.5</v>
      </c>
      <c r="E9" s="2">
        <v>-6</v>
      </c>
      <c r="F9">
        <f t="shared" si="0"/>
        <v>24.173913043478262</v>
      </c>
    </row>
    <row r="10" spans="1:7" x14ac:dyDescent="0.35">
      <c r="A10" s="1">
        <v>33</v>
      </c>
      <c r="B10" s="1">
        <v>1.88</v>
      </c>
      <c r="C10" s="2">
        <v>-3</v>
      </c>
      <c r="D10" s="1">
        <v>52.3</v>
      </c>
      <c r="E10" s="2">
        <v>-6</v>
      </c>
      <c r="F10">
        <f t="shared" si="0"/>
        <v>35.946462715105163</v>
      </c>
    </row>
    <row r="11" spans="1:7" x14ac:dyDescent="0.35">
      <c r="A11" s="1">
        <v>34</v>
      </c>
      <c r="B11" s="1">
        <v>2.6579999999999999</v>
      </c>
      <c r="C11" s="2">
        <v>-3</v>
      </c>
      <c r="D11" s="1">
        <v>65.7</v>
      </c>
      <c r="E11" s="2">
        <v>-6</v>
      </c>
      <c r="F11">
        <f t="shared" si="0"/>
        <v>40.456621004566209</v>
      </c>
    </row>
    <row r="12" spans="1:7" x14ac:dyDescent="0.35">
      <c r="A12" s="1">
        <v>35</v>
      </c>
      <c r="B12" s="1">
        <v>3.6</v>
      </c>
      <c r="C12" s="2">
        <v>-3</v>
      </c>
      <c r="D12" s="1">
        <v>82</v>
      </c>
      <c r="E12" s="2">
        <v>-6</v>
      </c>
      <c r="F12">
        <f t="shared" si="0"/>
        <v>43.902439024390247</v>
      </c>
    </row>
    <row r="13" spans="1:7" x14ac:dyDescent="0.35">
      <c r="A13" s="1">
        <v>36</v>
      </c>
      <c r="B13" s="1">
        <v>4.37</v>
      </c>
      <c r="C13" s="2">
        <v>-3</v>
      </c>
      <c r="D13" s="1">
        <v>95.5</v>
      </c>
      <c r="E13" s="2">
        <v>-6</v>
      </c>
      <c r="F13">
        <f t="shared" si="0"/>
        <v>45.75916230366493</v>
      </c>
    </row>
    <row r="14" spans="1:7" x14ac:dyDescent="0.35">
      <c r="A14" s="1">
        <v>38</v>
      </c>
      <c r="B14" s="1">
        <v>5.97</v>
      </c>
      <c r="C14" s="2">
        <v>-3</v>
      </c>
      <c r="D14" s="1">
        <v>122.9</v>
      </c>
      <c r="E14" s="2">
        <v>-6</v>
      </c>
      <c r="F14">
        <f t="shared" si="0"/>
        <v>48.576078112286403</v>
      </c>
    </row>
    <row r="15" spans="1:7" x14ac:dyDescent="0.35">
      <c r="A15" s="1">
        <v>40</v>
      </c>
      <c r="B15" s="1">
        <v>7.38</v>
      </c>
      <c r="C15" s="2">
        <v>-3</v>
      </c>
      <c r="D15" s="1">
        <v>146.5</v>
      </c>
      <c r="E15" s="2">
        <v>-6</v>
      </c>
      <c r="F15">
        <f t="shared" si="0"/>
        <v>50.375426621160415</v>
      </c>
    </row>
    <row r="16" spans="1:7" x14ac:dyDescent="0.35">
      <c r="A16" s="1"/>
      <c r="B16" s="1"/>
      <c r="C16" s="2"/>
      <c r="D16" s="1"/>
      <c r="E16" s="2"/>
    </row>
    <row r="17" spans="1:5" x14ac:dyDescent="0.35">
      <c r="A17" s="1"/>
      <c r="B17" s="1"/>
      <c r="C17" s="2"/>
      <c r="D17" s="1"/>
      <c r="E17" s="2"/>
    </row>
    <row r="18" spans="1:5" x14ac:dyDescent="0.35">
      <c r="A18" s="1"/>
      <c r="B18" s="1"/>
      <c r="C18" s="1"/>
      <c r="D18" s="1"/>
      <c r="E18" s="2"/>
    </row>
    <row r="19" spans="1:5" x14ac:dyDescent="0.35">
      <c r="A19" s="1"/>
      <c r="B19" s="1"/>
      <c r="C19" s="1"/>
      <c r="D19" s="1"/>
      <c r="E19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7"/>
  <sheetViews>
    <sheetView tabSelected="1" workbookViewId="0">
      <selection activeCell="E18" sqref="E18"/>
    </sheetView>
  </sheetViews>
  <sheetFormatPr defaultRowHeight="14.5" x14ac:dyDescent="0.35"/>
  <cols>
    <col min="5" max="5" width="26.54296875" bestFit="1" customWidth="1"/>
    <col min="6" max="6" width="11.08984375" bestFit="1" customWidth="1"/>
  </cols>
  <sheetData>
    <row r="1" spans="3:6" x14ac:dyDescent="0.35">
      <c r="C1" t="s">
        <v>11</v>
      </c>
      <c r="D1" t="s">
        <v>13</v>
      </c>
      <c r="E1" t="s">
        <v>10</v>
      </c>
      <c r="F1" t="s">
        <v>6</v>
      </c>
    </row>
    <row r="2" spans="3:6" x14ac:dyDescent="0.35">
      <c r="C2" t="s">
        <v>12</v>
      </c>
      <c r="D2" t="s">
        <v>14</v>
      </c>
      <c r="E2" t="s">
        <v>9</v>
      </c>
      <c r="F2" t="s">
        <v>7</v>
      </c>
    </row>
    <row r="3" spans="3:6" x14ac:dyDescent="0.35">
      <c r="C3" t="s">
        <v>15</v>
      </c>
    </row>
    <row r="5" spans="3:6" x14ac:dyDescent="0.35">
      <c r="C5" t="s">
        <v>16</v>
      </c>
    </row>
    <row r="6" spans="3:6" x14ac:dyDescent="0.35">
      <c r="C6" t="s">
        <v>17</v>
      </c>
    </row>
    <row r="7" spans="3:6" x14ac:dyDescent="0.35">
      <c r="C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2. поляризация</vt:lpstr>
      <vt:lpstr>3.2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2026-10-02T07:52:55Z</dcterms:created>
  <dcterms:modified xsi:type="dcterms:W3CDTF">2026-10-02T10:37:40Z</dcterms:modified>
</cp:coreProperties>
</file>